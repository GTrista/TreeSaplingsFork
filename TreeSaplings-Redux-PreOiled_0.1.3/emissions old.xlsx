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<sst xmlns="http://schemas.openxmlformats.org/spreadsheetml/2006/main" count="109" uniqueCount="67">
  <si>
    <t xml:space="preserve">Sapling &amp;
grow bag
crafting
done with:</t>
  </si>
  <si>
    <t xml:space="preserve">Redux value calculations
(Manual planting &amp; automated planters)</t>
  </si>
  <si>
    <t xml:space="preserve">Revisted-RevivePatch value calculations</t>
  </si>
  <si>
    <t xml:space="preserve">Base game vanilla values</t>
  </si>
  <si>
    <t xml:space="preserve">New mod values</t>
  </si>
  <si>
    <t xml:space="preserve">Legend:</t>
  </si>
  <si>
    <t xml:space="preserve">(Automated planters)</t>
  </si>
  <si>
    <t xml:space="preserve">Entity</t>
  </si>
  <si>
    <t xml:space="preserve">Emissions/sec</t>
  </si>
  <si>
    <t xml:space="preserve">kW/sec</t>
  </si>
  <si>
    <t xml:space="preserve">Speed</t>
  </si>
  <si>
    <t xml:space="preserve">Recipe</t>
  </si>
  <si>
    <t xml:space="preserve"># of runs</t>
  </si>
  <si>
    <t xml:space="preserve">Energy req.</t>
  </si>
  <si>
    <t xml:space="preserve">Result per run</t>
  </si>
  <si>
    <t xml:space="preserve">Required per run</t>
  </si>
  <si>
    <t xml:space="preserve">Crafting Emissions*</t>
  </si>
  <si>
    <t xml:space="preserve">Assembler 1</t>
  </si>
  <si>
    <t xml:space="preserve">Nitric Acid</t>
  </si>
  <si>
    <t xml:space="preserve">Calculation inputs</t>
  </si>
  <si>
    <t xml:space="preserve">Editable</t>
  </si>
  <si>
    <t xml:space="preserve">Solar power</t>
  </si>
  <si>
    <t xml:space="preserve">Boiler power</t>
  </si>
  <si>
    <t xml:space="preserve">Assembler 2</t>
  </si>
  <si>
    <t xml:space="preserve">K2P</t>
  </si>
  <si>
    <t xml:space="preserve">Assembler 3</t>
  </si>
  <si>
    <t xml:space="preserve">Fertilizer</t>
  </si>
  <si>
    <t xml:space="preserve">This mod's values</t>
  </si>
  <si>
    <t xml:space="preserve">Chemical Plant</t>
  </si>
  <si>
    <t xml:space="preserve">Grow bags</t>
  </si>
  <si>
    <t xml:space="preserve">Tree</t>
  </si>
  <si>
    <t xml:space="preserve">N/A</t>
  </si>
  <si>
    <t xml:space="preserve">Old mod values</t>
  </si>
  <si>
    <t xml:space="preserve">Boiler</t>
  </si>
  <si>
    <t xml:space="preserve">Sapling emissions</t>
  </si>
  <si>
    <t xml:space="preserve">Emissions after sapling absorption</t>
  </si>
  <si>
    <t xml:space="preserve">Sapling stage:</t>
  </si>
  <si>
    <t xml:space="preserve">Emissions/sec:</t>
  </si>
  <si>
    <t xml:space="preserve">Avg em/sec:</t>
  </si>
  <si>
    <t xml:space="preserve">(stages 2-5 are 2x as long as stage 1)</t>
  </si>
  <si>
    <t xml:space="preserve">Formula/Calculation</t>
  </si>
  <si>
    <t xml:space="preserve">Grow times</t>
  </si>
  <si>
    <t xml:space="preserve">Average:</t>
  </si>
  <si>
    <t xml:space="preserve">Min:</t>
  </si>
  <si>
    <t xml:space="preserve">Max:</t>
  </si>
  <si>
    <t xml:space="preserve">Note</t>
  </si>
  <si>
    <t xml:space="preserve">This sheet is protected simply to prevent unintended edits (you can still freely select, and it's not password protected).</t>
  </si>
  <si>
    <t xml:space="preserve">Container</t>
  </si>
  <si>
    <t xml:space="preserve">Time mature tree must be left alone to absorb remaining emissions</t>
  </si>
  <si>
    <t xml:space="preserve">Revisted-RevivePatch mod values</t>
  </si>
  <si>
    <t xml:space="preserve">Ammonia</t>
  </si>
  <si>
    <t xml:space="preserve">Saplings</t>
  </si>
  <si>
    <t xml:space="preserve">Collected wood:</t>
  </si>
  <si>
    <t xml:space="preserve">Used wood:</t>
  </si>
  <si>
    <t xml:space="preserve">Net wood:</t>
  </si>
  <si>
    <t xml:space="preserve">Used Stone:</t>
  </si>
  <si>
    <t xml:space="preserve">Net petrol gas:</t>
  </si>
  <si>
    <t xml:space="preserve">Use:</t>
  </si>
  <si>
    <t xml:space="preserve">Mod original</t>
  </si>
  <si>
    <t xml:space="preserve">* Inserters and petrol gas generation not taken into account; too many possibilities</t>
  </si>
  <si>
    <t xml:space="preserve">Required Materials per tree:</t>
  </si>
  <si>
    <t xml:space="preserve">Wood</t>
  </si>
  <si>
    <t xml:space="preserve">Stone</t>
  </si>
  <si>
    <t xml:space="preserve">Coal</t>
  </si>
  <si>
    <t xml:space="preserve">MJ</t>
  </si>
  <si>
    <t xml:space="preserve">Result with grown tree:</t>
  </si>
  <si>
    <t xml:space="preserve">MJ to spend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</si>
</sst>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.0000"/>
    <numFmt numFmtId="166" formatCode="#&quot; Nitric Acid&quot;"/>
    <numFmt numFmtId="167" formatCode="#&quot; Wood&quot;"/>
    <numFmt numFmtId="168" formatCode="#&quot; Water&quot;"/>
    <numFmt numFmtId="169" formatCode="General"/>
    <numFmt numFmtId="170" formatCode="#&quot; K2P&quot;"/>
    <numFmt numFmtId="171" formatCode="#&quot; Coal&quot;"/>
    <numFmt numFmtId="172" formatCode="#&quot; Stone&quot;"/>
    <numFmt numFmtId="173" formatCode="#,##0.00"/>
    <numFmt numFmtId="174" formatCode="_(* #,##0.0000_);_(* \-#,##0.0000;_(* \-??_);_(@_)"/>
    <numFmt numFmtId="175" formatCode="#&quot; Fertilizer&quot;"/>
    <numFmt numFmtId="176" formatCode="#&quot; Grow Bag&quot;"/>
    <numFmt numFmtId="177" formatCode="0.00000"/>
    <numFmt numFmtId="178" formatCode="0.#&quot; mins&quot;"/>
    <numFmt numFmtId="179" formatCode="0&quot; mins&quot;"/>
    <numFmt numFmtId="180" formatCode="#&quot; Ammonia&quot;"/>
    <numFmt numFmtId="181" formatCode="#&quot; Petrol Gas&quot;"/>
    <numFmt numFmtId="182" formatCode="#&quot; Sapling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F3F76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9C5700"/>
      <name val="Calibri Light"/>
      <family val="2"/>
      <charset val="1"/>
    </font>
    <font>
      <b val="true"/>
      <sz val="11"/>
      <color rgb="FFFA7D00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CC99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F2F2F2"/>
        <bgColor rgb="FFFFFFFF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FFFFFF"/>
      </patternFill>
    </fill>
  </fills>
  <borders count="39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 style="mediumDashDot"/>
      <top/>
      <bottom/>
      <diagonal/>
    </border>
    <border diagonalUp="false" diagonalDown="false">
      <left/>
      <right/>
      <top style="mediumDashDot"/>
      <bottom/>
      <diagonal/>
    </border>
    <border diagonalUp="false" diagonalDown="false">
      <left/>
      <right style="mediumDashDot"/>
      <top style="mediumDashDot"/>
      <bottom/>
      <diagonal/>
    </border>
    <border diagonalUp="false" diagonalDown="false">
      <left style="mediumDashDot"/>
      <right/>
      <top style="mediumDashDot"/>
      <bottom/>
      <diagonal/>
    </border>
    <border diagonalUp="false" diagonalDown="false">
      <left style="mediumDashDot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DashDot"/>
      <right/>
      <top/>
      <bottom/>
      <diagonal/>
    </border>
    <border diagonalUp="false" diagonalDown="false">
      <left style="medium"/>
      <right style="medium"/>
      <top style="thin">
        <color rgb="FF7F7F7F"/>
      </top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>
        <color rgb="FF7F7F7F"/>
      </right>
      <top/>
      <bottom style="thin">
        <color rgb="FF7F7F7F"/>
      </bottom>
      <diagonal/>
    </border>
    <border diagonalUp="false" diagonalDown="false">
      <left style="thin">
        <color rgb="FF7F7F7F"/>
      </left>
      <right style="medium"/>
      <top/>
      <bottom style="thin">
        <color rgb="FF7F7F7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 style="medium"/>
      <top style="thin">
        <color rgb="FF7F7F7F"/>
      </top>
      <bottom style="thin">
        <color rgb="FF7F7F7F"/>
      </bottom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DashDot"/>
      <right/>
      <top/>
      <bottom style="mediumDashDot"/>
      <diagonal/>
    </border>
    <border diagonalUp="false" diagonalDown="false">
      <left/>
      <right/>
      <top/>
      <bottom style="mediumDashDot"/>
      <diagonal/>
    </border>
    <border diagonalUp="false" diagonalDown="false">
      <left/>
      <right style="mediumDashDot"/>
      <top/>
      <bottom style="mediumDashDot"/>
      <diagonal/>
    </border>
    <border diagonalUp="false" diagonalDown="false">
      <left style="medium"/>
      <right style="thin">
        <color rgb="FF7F7F7F"/>
      </right>
      <top/>
      <bottom/>
      <diagonal/>
    </border>
    <border diagonalUp="false" diagonalDown="false">
      <left style="thin">
        <color rgb="FF7F7F7F"/>
      </left>
      <right style="medium"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/>
      <diagonal/>
    </border>
    <border diagonalUp="false" diagonalDown="false">
      <left style="thin">
        <color rgb="FF7F7F7F"/>
      </left>
      <right/>
      <top style="medium"/>
      <bottom style="thin"/>
      <diagonal/>
    </border>
    <border diagonalUp="false" diagonalDown="false"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DashDot"/>
      <right style="mediumDashDot"/>
      <top style="mediumDashDot"/>
      <bottom style="mediumDashDot"/>
      <diagonal/>
    </border>
    <border diagonalUp="false" diagonalDown="false">
      <left style="medium"/>
      <right style="thin">
        <color rgb="FF7F7F7F"/>
      </right>
      <top style="medium"/>
      <bottom style="thin">
        <color rgb="FF7F7F7F"/>
      </bottom>
      <diagonal/>
    </border>
    <border diagonalUp="false" diagonalDown="false">
      <left style="thin">
        <color rgb="FF7F7F7F"/>
      </left>
      <right style="medium"/>
      <top style="medium"/>
      <bottom style="thin">
        <color rgb="FF7F7F7F"/>
      </bottom>
      <diagonal/>
    </border>
    <border diagonalUp="false" diagonalDown="false">
      <left style="thin">
        <color rgb="FF7F7F7F"/>
      </left>
      <right style="medium"/>
      <top style="thin">
        <color rgb="FF7F7F7F"/>
      </top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>
        <color rgb="FF7F7F7F"/>
      </left>
      <right style="medium"/>
      <top style="thin">
        <color rgb="FF7F7F7F"/>
      </top>
      <bottom style="medium"/>
      <diagonal/>
    </border>
    <border diagonalUp="false" diagonalDown="false">
      <left style="double">
        <color theme="1" tint="0.2499"/>
      </left>
      <right style="double">
        <color theme="1" tint="0.2499"/>
      </right>
      <top style="double">
        <color theme="1" tint="0.2499"/>
      </top>
      <bottom style="double">
        <color theme="1" tint="0.2499"/>
      </bottom>
      <diagonal/>
    </border>
    <border diagonalUp="false" diagonalDown="false">
      <left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1" applyFont="true" applyBorder="true" applyAlignment="true" applyProtection="false">
      <alignment horizontal="general" vertical="bottom" textRotation="0" wrapText="false" indent="0" shrinkToFit="false"/>
    </xf>
    <xf numFmtId="164" fontId="9" fillId="5" borderId="2" applyFont="true" applyBorder="true" applyAlignment="true" applyProtection="false">
      <alignment horizontal="general" vertical="bottom" textRotation="0" wrapText="false" indent="0" shrinkToFit="false"/>
    </xf>
    <xf numFmtId="164" fontId="0" fillId="6" borderId="3" applyFont="true" applyBorder="true" applyAlignment="true" applyProtection="false">
      <alignment horizontal="general" vertical="bottom" textRotation="0" wrapText="false" indent="0" shrinkToFit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3" borderId="9" xfId="22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6" fillId="3" borderId="9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9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9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3" borderId="9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3" borderId="9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6" fillId="3" borderId="9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8" fillId="4" borderId="1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4" borderId="1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4" borderId="1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7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4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6" fillId="3" borderId="9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9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4" borderId="1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4" borderId="19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3" borderId="9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4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5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25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8" fillId="4" borderId="2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8" fillId="4" borderId="27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8" fillId="4" borderId="29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3" borderId="30" xfId="22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" xfId="2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15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16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32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33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9" fillId="5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9" fillId="5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5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8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19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5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9" fillId="5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5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5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8" fillId="4" borderId="19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4" borderId="1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9" fillId="5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4" borderId="34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8" fillId="4" borderId="3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4" borderId="37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9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5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Input" xfId="20"/>
    <cellStyle name="Excel Built-in Explanatory Text" xfId="21"/>
    <cellStyle name="Excel Built-in Neutral" xfId="22"/>
    <cellStyle name="Excel Built-in Calculation" xfId="23"/>
    <cellStyle name="Excel Built-in Check Cell" xfId="24"/>
    <cellStyle name="Excel Built-in Note" xfId="25"/>
  </cellStyles>
  <dxfs count="3">
    <dxf>
      <border diagonalUp="false" diagonalDown="false">
        <left style="thin">
          <color theme="1" tint="0.4999"/>
        </left>
        <right style="thin">
          <color theme="1" tint="0.4999"/>
        </right>
        <top style="thin">
          <color theme="1" tint="0.4999"/>
        </top>
        <bottom style="thin">
          <color theme="1" tint="0.4999"/>
        </bottom>
        <diagonal/>
      </border>
    </dxf>
    <dxf>
      <font>
        <b val="0"/>
        <i val="1"/>
        <strike val="0"/>
        <color rgb="FFA6A6A6"/>
      </font>
      <border diagonalUp="false" diagonalDown="false">
        <left style="thin"/>
        <right style="thin"/>
        <top style="thin"/>
        <bottom style="thin"/>
        <diagonal/>
      </border>
    </dxf>
    <dxf>
      <font>
        <b val="1"/>
        <i val="0"/>
        <strike val="0"/>
        <color rgb="FFFFFFFF"/>
      </font>
      <fill>
        <patternFill>
          <bgColor theme="0" tint="-0.3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7F7F7F"/>
      <rgbColor rgb="FFA6A6A6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A5A5A5"/>
      <rgbColor rgb="FF003366"/>
      <rgbColor rgb="FF339966"/>
      <rgbColor rgb="FF003300"/>
      <rgbColor rgb="FF404040"/>
      <rgbColor rgb="FF9C5700"/>
      <rgbColor rgb="FF993366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D4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U6" activeCellId="0" sqref="U6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.18"/>
    <col collapsed="false" customWidth="true" hidden="false" outlineLevel="0" max="2" min="2" style="1" width="11.63"/>
    <col collapsed="false" customWidth="true" hidden="false" outlineLevel="0" max="4" min="3" style="1" width="18.18"/>
    <col collapsed="false" customWidth="true" hidden="false" outlineLevel="0" max="5" min="5" style="1" width="2.18"/>
    <col collapsed="false" customWidth="true" hidden="false" outlineLevel="0" max="7" min="6" style="1" width="18.18"/>
    <col collapsed="false" customWidth="true" hidden="false" outlineLevel="0" max="10" min="8" style="1" width="2.18"/>
    <col collapsed="false" customWidth="true" hidden="false" outlineLevel="0" max="11" min="11" style="1" width="13.09"/>
    <col collapsed="false" customWidth="true" hidden="false" outlineLevel="0" max="12" min="12" style="1" width="12.45"/>
    <col collapsed="false" customWidth="true" hidden="false" outlineLevel="0" max="13" min="13" style="1" width="7"/>
    <col collapsed="false" customWidth="true" hidden="false" outlineLevel="0" max="14" min="14" style="1" width="5.91"/>
    <col collapsed="false" customWidth="true" hidden="false" outlineLevel="0" max="17" min="15" style="1" width="2.18"/>
    <col collapsed="false" customWidth="true" hidden="false" outlineLevel="0" max="18" min="18" style="1" width="13.09"/>
    <col collapsed="false" customWidth="true" hidden="false" outlineLevel="0" max="19" min="19" style="1" width="9.45"/>
    <col collapsed="false" customWidth="true" hidden="false" outlineLevel="0" max="20" min="20" style="1" width="10.27"/>
    <col collapsed="false" customWidth="true" hidden="false" outlineLevel="0" max="21" min="21" style="1" width="12.54"/>
    <col collapsed="false" customWidth="true" hidden="false" outlineLevel="0" max="23" min="22" style="1" width="11.91"/>
    <col collapsed="false" customWidth="true" hidden="false" outlineLevel="0" max="24" min="24" style="1" width="13.09"/>
    <col collapsed="false" customWidth="true" hidden="false" outlineLevel="0" max="27" min="25" style="1" width="2.18"/>
    <col collapsed="false" customWidth="true" hidden="false" outlineLevel="0" max="28" min="28" style="1" width="22.09"/>
    <col collapsed="false" customWidth="true" hidden="false" outlineLevel="0" max="30" min="30" style="1" width="2.18"/>
  </cols>
  <sheetData>
    <row r="2" customFormat="false" ht="13.8" hidden="false" customHeight="false" outlineLevel="0" collapsed="false">
      <c r="A2" s="2"/>
      <c r="B2" s="3"/>
      <c r="C2" s="3"/>
      <c r="D2" s="3"/>
      <c r="E2" s="3"/>
      <c r="F2" s="3"/>
      <c r="G2" s="3"/>
      <c r="H2" s="4"/>
      <c r="J2" s="5"/>
      <c r="K2" s="3"/>
      <c r="L2" s="3"/>
      <c r="M2" s="3"/>
      <c r="N2" s="3"/>
      <c r="O2" s="4"/>
      <c r="Q2" s="5"/>
      <c r="R2" s="3"/>
      <c r="S2" s="3"/>
      <c r="T2" s="3"/>
      <c r="U2" s="3"/>
      <c r="V2" s="3"/>
      <c r="W2" s="3"/>
      <c r="X2" s="3"/>
      <c r="Y2" s="4"/>
      <c r="AA2" s="5"/>
      <c r="AB2" s="3"/>
      <c r="AC2" s="3"/>
      <c r="AD2" s="4"/>
    </row>
    <row r="3" customFormat="false" ht="15" hidden="false" customHeight="true" outlineLevel="0" collapsed="false">
      <c r="A3" s="2"/>
      <c r="B3" s="6" t="s">
        <v>0</v>
      </c>
      <c r="C3" s="7" t="s">
        <v>1</v>
      </c>
      <c r="D3" s="7"/>
      <c r="F3" s="8" t="s">
        <v>2</v>
      </c>
      <c r="G3" s="8"/>
      <c r="H3" s="2"/>
      <c r="J3" s="9"/>
      <c r="K3" s="10" t="s">
        <v>3</v>
      </c>
      <c r="L3" s="10"/>
      <c r="M3" s="10"/>
      <c r="N3" s="10"/>
      <c r="O3" s="2"/>
      <c r="Q3" s="9"/>
      <c r="R3" s="10" t="s">
        <v>4</v>
      </c>
      <c r="S3" s="10"/>
      <c r="T3" s="10"/>
      <c r="U3" s="10"/>
      <c r="V3" s="10"/>
      <c r="W3" s="10"/>
      <c r="X3" s="10"/>
      <c r="Y3" s="2"/>
      <c r="AA3" s="9"/>
      <c r="AB3" s="1" t="s">
        <v>5</v>
      </c>
      <c r="AD3" s="2"/>
    </row>
    <row r="4" customFormat="false" ht="13.8" hidden="false" customHeight="false" outlineLevel="0" collapsed="false">
      <c r="A4" s="2"/>
      <c r="B4" s="6"/>
      <c r="C4" s="7"/>
      <c r="D4" s="7"/>
      <c r="F4" s="11" t="s">
        <v>6</v>
      </c>
      <c r="G4" s="11"/>
      <c r="H4" s="2"/>
      <c r="J4" s="9"/>
      <c r="K4" s="12" t="s">
        <v>7</v>
      </c>
      <c r="L4" s="12" t="s">
        <v>8</v>
      </c>
      <c r="M4" s="12" t="s">
        <v>9</v>
      </c>
      <c r="N4" s="12" t="s">
        <v>10</v>
      </c>
      <c r="O4" s="2"/>
      <c r="Q4" s="9"/>
      <c r="R4" s="1" t="s">
        <v>11</v>
      </c>
      <c r="S4" s="1" t="s">
        <v>12</v>
      </c>
      <c r="T4" s="1" t="s">
        <v>13</v>
      </c>
      <c r="U4" s="1" t="s">
        <v>14</v>
      </c>
      <c r="W4" s="13" t="s">
        <v>15</v>
      </c>
      <c r="X4" s="13"/>
      <c r="Y4" s="2"/>
      <c r="AA4" s="9"/>
      <c r="AD4" s="2"/>
    </row>
    <row r="5" customFormat="false" ht="13.8" hidden="false" customHeight="false" outlineLevel="0" collapsed="false">
      <c r="A5" s="2"/>
      <c r="B5" s="6"/>
      <c r="C5" s="14" t="s">
        <v>16</v>
      </c>
      <c r="D5" s="14"/>
      <c r="F5" s="14" t="s">
        <v>16</v>
      </c>
      <c r="G5" s="14"/>
      <c r="H5" s="2"/>
      <c r="J5" s="9"/>
      <c r="K5" s="1" t="s">
        <v>17</v>
      </c>
      <c r="L5" s="15" t="n">
        <f aca="false">4/60</f>
        <v>0.0666666666666667</v>
      </c>
      <c r="M5" s="16" t="n">
        <v>77.5</v>
      </c>
      <c r="N5" s="16" t="n">
        <v>0.5</v>
      </c>
      <c r="O5" s="2"/>
      <c r="Q5" s="9"/>
      <c r="R5" s="1" t="s">
        <v>18</v>
      </c>
      <c r="S5" s="17" t="n">
        <v>2</v>
      </c>
      <c r="T5" s="18" t="n">
        <v>20</v>
      </c>
      <c r="U5" s="19" t="n">
        <v>40</v>
      </c>
      <c r="V5" s="19"/>
      <c r="W5" s="20" t="n">
        <v>1</v>
      </c>
      <c r="X5" s="21" t="n">
        <v>20</v>
      </c>
      <c r="Y5" s="2"/>
      <c r="AA5" s="9"/>
      <c r="AB5" s="22" t="s">
        <v>19</v>
      </c>
      <c r="AC5" s="1" t="s">
        <v>20</v>
      </c>
      <c r="AD5" s="2"/>
    </row>
    <row r="6" customFormat="false" ht="13.8" hidden="false" customHeight="false" outlineLevel="0" collapsed="false">
      <c r="A6" s="2"/>
      <c r="B6" s="6"/>
      <c r="C6" s="10" t="s">
        <v>21</v>
      </c>
      <c r="D6" s="10" t="s">
        <v>22</v>
      </c>
      <c r="F6" s="10" t="s">
        <v>21</v>
      </c>
      <c r="G6" s="10" t="s">
        <v>22</v>
      </c>
      <c r="H6" s="2"/>
      <c r="J6" s="9"/>
      <c r="K6" s="1" t="s">
        <v>23</v>
      </c>
      <c r="L6" s="23" t="n">
        <f aca="false">3/60</f>
        <v>0.05</v>
      </c>
      <c r="M6" s="23" t="n">
        <v>155</v>
      </c>
      <c r="N6" s="23" t="n">
        <v>0.75</v>
      </c>
      <c r="O6" s="2"/>
      <c r="Q6" s="9"/>
      <c r="R6" s="1" t="s">
        <v>24</v>
      </c>
      <c r="S6" s="22" t="n">
        <v>1</v>
      </c>
      <c r="T6" s="18" t="n">
        <v>60</v>
      </c>
      <c r="U6" s="24" t="n">
        <v>20</v>
      </c>
      <c r="V6" s="25" t="n">
        <v>1</v>
      </c>
      <c r="W6" s="26" t="n">
        <v>5</v>
      </c>
      <c r="X6" s="21" t="n">
        <v>50</v>
      </c>
      <c r="Y6" s="2"/>
      <c r="AA6" s="9"/>
      <c r="AD6" s="2"/>
    </row>
    <row r="7" customFormat="false" ht="13.8" hidden="false" customHeight="false" outlineLevel="0" collapsed="false">
      <c r="A7" s="2"/>
      <c r="B7" s="27" t="s">
        <v>17</v>
      </c>
      <c r="C7" s="28" t="n">
        <f aca="false">($S$5 * ($T$5 / $N$8) * $L$8) + ($S$6 * ($T$6 / $N$8) * $L$8) + ($S$7 * ($T$7 / $N$8) * $L$8) + ($S$8 * ($T$8 / $N5) * $L5)</f>
        <v>14.6666666666667</v>
      </c>
      <c r="D7" s="29" t="n">
        <f aca="false">C7 + ((($M5 * ($T$8 / $N5) * $S$8) / $M$10) * $L$10) + ((($M$8 * ((($T$5 / $N$8) * $S$5) + (($T$6 / $N$8) * $S$6) + (($T$7 / $N$8) * $S$7))) / $M$10) * $L$10)</f>
        <v>27.1527777777778</v>
      </c>
      <c r="F7" s="30" t="n">
        <f aca="false">($S$21 * ($T$21 / $N$8) * $L$8) + ($S$22 * ($T$22 / $N$8) * $L$8) + ($S$23 * ($T$23 / $N$8) * $L$8) + ($S$24 * ($T$24 / $N5) * $L5)</f>
        <v>27.3333333333333</v>
      </c>
      <c r="G7" s="29" t="n">
        <f aca="false">F7 + ((($M5 * ($T$24 / $N5) * $S$24) / $M$10) * $L$10) + ((($M$8 * ((($T$21 / $N$8) * $S$21) + (($T$22 / $N$8) * $S$22) + (($T$23 / $N$8) * $S$23))) / $M$10) * $L$10)</f>
        <v>51.6597222222222</v>
      </c>
      <c r="H7" s="2"/>
      <c r="J7" s="9"/>
      <c r="K7" s="1" t="s">
        <v>25</v>
      </c>
      <c r="L7" s="31" t="n">
        <f aca="false">2/60</f>
        <v>0.0333333333333333</v>
      </c>
      <c r="M7" s="23" t="n">
        <v>388</v>
      </c>
      <c r="N7" s="23" t="n">
        <v>1.25</v>
      </c>
      <c r="O7" s="2"/>
      <c r="Q7" s="9"/>
      <c r="R7" s="1" t="s">
        <v>26</v>
      </c>
      <c r="S7" s="32" t="n">
        <f aca="false">MAX(ROUNDUP(S5*U5/X7,0),ROUNDUP(S6*U6/W7,0))</f>
        <v>20</v>
      </c>
      <c r="T7" s="18" t="n">
        <v>5</v>
      </c>
      <c r="U7" s="33" t="n">
        <v>1</v>
      </c>
      <c r="V7" s="33"/>
      <c r="W7" s="24" t="n">
        <v>1</v>
      </c>
      <c r="X7" s="19" t="n">
        <v>10</v>
      </c>
      <c r="Y7" s="2"/>
      <c r="AA7" s="9"/>
      <c r="AB7" s="34" t="s">
        <v>27</v>
      </c>
      <c r="AC7" s="1" t="s">
        <v>20</v>
      </c>
      <c r="AD7" s="2"/>
    </row>
    <row r="8" customFormat="false" ht="13.8" hidden="false" customHeight="false" outlineLevel="0" collapsed="false">
      <c r="A8" s="2"/>
      <c r="B8" s="27" t="s">
        <v>23</v>
      </c>
      <c r="C8" s="35" t="n">
        <f aca="false">($S$5 * ($T$5 / $N$8) * $L$8) + ($S$6 * ($T$6 / $N$8) * $L$8) + ($S$7 * ($T$7 / $N$8) * $L$8) + ($S$8 * ($T$8 / $N6) * $L6)</f>
        <v>14</v>
      </c>
      <c r="D8" s="36" t="n">
        <f aca="false">C8 + ((($M6 * ($T$8 / $N6) * $S$8) / $M$10) * $L$10) + ((($M$8 * ((($T$5 / $N$8) * $S$5) + (($T$6 / $N$8) * $S$6) + (($T$7 / $N$8) * $S$7))) / $M$10) * $L$10)</f>
        <v>26.6296296296296</v>
      </c>
      <c r="F8" s="35" t="n">
        <f aca="false">($S$21 * ($T$21 / $N$8) * $L$8) + ($S$22 * ($T$22 / $N$8) * $L$8) + ($S$23 * ($T$23 / $N$8) * $L$8) + ($S$24 * ($T$24 / $N6) * $L6)</f>
        <v>27</v>
      </c>
      <c r="G8" s="36" t="n">
        <f aca="false">F8 + ((($M6 * ($T$24 / $N6) * $S$24) / $M$10) * $L$10) + ((($M$8 * ((($T$21 / $N$8) * $S$21) + (($T$22 / $N$8) * $S$22) + (($T$23 / $N$8) * $S$23))) / $M$10) * $L$10)</f>
        <v>51.3981481481482</v>
      </c>
      <c r="H8" s="2"/>
      <c r="J8" s="9"/>
      <c r="K8" s="1" t="s">
        <v>28</v>
      </c>
      <c r="L8" s="37" t="n">
        <f aca="false">4/60</f>
        <v>0.0666666666666667</v>
      </c>
      <c r="M8" s="23" t="n">
        <v>217</v>
      </c>
      <c r="N8" s="23" t="n">
        <v>1</v>
      </c>
      <c r="O8" s="2"/>
      <c r="Q8" s="9"/>
      <c r="R8" s="1" t="s">
        <v>29</v>
      </c>
      <c r="S8" s="32" t="n">
        <f aca="false">_xlfn.FLOOR.MATH((S7 * U7) / W8)</f>
        <v>20</v>
      </c>
      <c r="T8" s="18" t="n">
        <v>0.5</v>
      </c>
      <c r="U8" s="38" t="n">
        <v>1</v>
      </c>
      <c r="V8" s="38"/>
      <c r="W8" s="33" t="n">
        <v>1</v>
      </c>
      <c r="X8" s="20" t="n">
        <v>1</v>
      </c>
      <c r="Y8" s="2"/>
      <c r="AA8" s="9"/>
      <c r="AD8" s="2"/>
    </row>
    <row r="9" customFormat="false" ht="13.8" hidden="false" customHeight="false" outlineLevel="0" collapsed="false">
      <c r="A9" s="2"/>
      <c r="B9" s="27" t="s">
        <v>25</v>
      </c>
      <c r="C9" s="35" t="n">
        <f aca="false">($S$5 * ($T$5 / $N$8) * $L$8) + ($S$6 * ($T$6 / $N$8) * $L$8) + ($S$7 * ($T$7 / $N$8) * $L$8) + ($S$8 * ($T$8 / $N7) * $L7)</f>
        <v>13.6</v>
      </c>
      <c r="D9" s="36" t="n">
        <f aca="false">C9 + ((($M7 * ($T$8 / $N7) * $S$8) / $M$10) * $L$10) + ((($M$8 * ((($T$5 / $N$8) * $S$5) + (($T$6 / $N$8) * $S$6) + (($T$7 / $N$8) * $S$7))) / $M$10) * $L$10)</f>
        <v>26.5177777777778</v>
      </c>
      <c r="F9" s="35" t="n">
        <f aca="false">($S$21 * ($T$21 / $N$8) * $L$8) + ($S$22 * ($T$22 / $N$8) * $L$8) + ($S$23 * ($T$23 / $N$8) * $L$8) + ($S$24 * ($T$24 / $N7) * $L7)</f>
        <v>26.8</v>
      </c>
      <c r="G9" s="36" t="n">
        <f aca="false">F9 + ((($M7 * ($T$24 / $N7) * $S$24) / $M$10) * $L$10) + ((($M$8 * ((($T$21 / $N$8) * $S$21) + (($T$22 / $N$8) * $S$22) + (($T$23 / $N$8) * $S$23))) / $M$10) * $L$10)</f>
        <v>51.3422222222222</v>
      </c>
      <c r="H9" s="2"/>
      <c r="J9" s="9"/>
      <c r="K9" s="1" t="s">
        <v>30</v>
      </c>
      <c r="L9" s="23" t="n">
        <v>-0.001</v>
      </c>
      <c r="M9" s="39" t="s">
        <v>31</v>
      </c>
      <c r="N9" s="39" t="s">
        <v>31</v>
      </c>
      <c r="O9" s="2"/>
      <c r="Q9" s="9"/>
      <c r="Y9" s="2"/>
      <c r="AA9" s="9"/>
      <c r="AB9" s="40" t="s">
        <v>32</v>
      </c>
      <c r="AD9" s="2"/>
    </row>
    <row r="10" customFormat="false" ht="13.8" hidden="false" customHeight="false" outlineLevel="0" collapsed="false">
      <c r="A10" s="2"/>
      <c r="B10" s="27"/>
      <c r="C10" s="41"/>
      <c r="D10" s="42"/>
      <c r="F10" s="41"/>
      <c r="G10" s="42"/>
      <c r="H10" s="2"/>
      <c r="J10" s="9"/>
      <c r="K10" s="1" t="s">
        <v>33</v>
      </c>
      <c r="L10" s="16" t="n">
        <f aca="false">30/60</f>
        <v>0.5</v>
      </c>
      <c r="M10" s="23" t="n">
        <v>1800</v>
      </c>
      <c r="N10" s="39" t="s">
        <v>31</v>
      </c>
      <c r="O10" s="2"/>
      <c r="Q10" s="9"/>
      <c r="R10" s="43" t="s">
        <v>34</v>
      </c>
      <c r="S10" s="43"/>
      <c r="T10" s="43"/>
      <c r="U10" s="43"/>
      <c r="V10" s="43"/>
      <c r="W10" s="43"/>
      <c r="X10" s="43"/>
      <c r="Y10" s="2"/>
      <c r="AA10" s="9"/>
      <c r="AD10" s="2"/>
    </row>
    <row r="11" customFormat="false" ht="13.8" hidden="false" customHeight="false" outlineLevel="0" collapsed="false">
      <c r="A11" s="2"/>
      <c r="B11" s="27"/>
      <c r="C11" s="10" t="s">
        <v>35</v>
      </c>
      <c r="D11" s="10"/>
      <c r="F11" s="10" t="s">
        <v>35</v>
      </c>
      <c r="G11" s="10"/>
      <c r="H11" s="2"/>
      <c r="J11" s="44"/>
      <c r="K11" s="45"/>
      <c r="L11" s="45"/>
      <c r="M11" s="45"/>
      <c r="N11" s="45"/>
      <c r="O11" s="46"/>
      <c r="Q11" s="9"/>
      <c r="R11" s="1" t="s">
        <v>36</v>
      </c>
      <c r="S11" s="1" t="n">
        <v>1</v>
      </c>
      <c r="T11" s="1" t="n">
        <v>2</v>
      </c>
      <c r="U11" s="1" t="n">
        <v>3</v>
      </c>
      <c r="W11" s="1" t="n">
        <v>4</v>
      </c>
      <c r="X11" s="1" t="n">
        <v>5</v>
      </c>
      <c r="Y11" s="2"/>
      <c r="AA11" s="9"/>
      <c r="AB11" s="23" t="s">
        <v>3</v>
      </c>
      <c r="AD11" s="2"/>
    </row>
    <row r="12" customFormat="false" ht="13.8" hidden="false" customHeight="false" outlineLevel="0" collapsed="false">
      <c r="A12" s="2"/>
      <c r="B12" s="27"/>
      <c r="C12" s="47" t="str">
        <f aca="false">$S$8 &amp; "x sapling" &amp; IF($S$8 &gt; 1, "s", "") &amp; ":"</f>
        <v>20x saplings:</v>
      </c>
      <c r="D12" s="48" t="n">
        <f aca="false">$S$13 * $S$8 * $S$15 * 60</f>
        <v>-14.3784666666667</v>
      </c>
      <c r="F12" s="47" t="str">
        <f aca="false">IF($F$4="(Manual planting only)", $S$24, $S$25) &amp; "x sapling" &amp; IF(IF($F$4="(Manual planting only)", $S$24, $S$25) &gt; 1, "s", "") &amp; ":"</f>
        <v>10x saplings:</v>
      </c>
      <c r="G12" s="48" t="n">
        <f aca="false">$S$28 * IF($F$4="(Manual planting only)",$S$24,$S$25) * $S$30 * 60</f>
        <v>-64.8</v>
      </c>
      <c r="H12" s="2"/>
      <c r="Q12" s="9"/>
      <c r="R12" s="1" t="s">
        <v>37</v>
      </c>
      <c r="S12" s="18" t="n">
        <v>-1E-006</v>
      </c>
      <c r="T12" s="18" t="n">
        <v>-8E-005</v>
      </c>
      <c r="U12" s="18" t="n">
        <v>-0.00022</v>
      </c>
      <c r="V12" s="18"/>
      <c r="W12" s="18" t="n">
        <v>-0.00042</v>
      </c>
      <c r="X12" s="18" t="n">
        <v>-0.00068</v>
      </c>
      <c r="Y12" s="2"/>
      <c r="AA12" s="9"/>
      <c r="AD12" s="2"/>
    </row>
    <row r="13" customFormat="false" ht="14.25" hidden="false" customHeight="true" outlineLevel="0" collapsed="false">
      <c r="A13" s="2"/>
      <c r="B13" s="27"/>
      <c r="C13" s="10" t="s">
        <v>21</v>
      </c>
      <c r="D13" s="10" t="s">
        <v>22</v>
      </c>
      <c r="F13" s="10" t="s">
        <v>21</v>
      </c>
      <c r="G13" s="10" t="s">
        <v>22</v>
      </c>
      <c r="H13" s="2"/>
      <c r="Q13" s="9"/>
      <c r="R13" s="1" t="s">
        <v>38</v>
      </c>
      <c r="S13" s="49" t="n">
        <f aca="false">((S12 * 1) + (T12 * 2) + (U12 * 2) + (W12 * 2) + (X12 * 2)) / 9</f>
        <v>-0.000311222222222222</v>
      </c>
      <c r="T13" s="50" t="s">
        <v>39</v>
      </c>
      <c r="U13" s="50"/>
      <c r="V13" s="50"/>
      <c r="W13" s="50"/>
      <c r="X13" s="50"/>
      <c r="Y13" s="2"/>
      <c r="AA13" s="9"/>
      <c r="AB13" s="32" t="s">
        <v>40</v>
      </c>
      <c r="AD13" s="2"/>
    </row>
    <row r="14" customFormat="false" ht="15" hidden="false" customHeight="true" outlineLevel="0" collapsed="false">
      <c r="A14" s="2"/>
      <c r="B14" s="27" t="s">
        <v>17</v>
      </c>
      <c r="C14" s="30" t="n">
        <f aca="false">C7 + $D$12</f>
        <v>0.288200000000016</v>
      </c>
      <c r="D14" s="29" t="n">
        <f aca="false">D7 + $D$12</f>
        <v>12.7743111111111</v>
      </c>
      <c r="F14" s="30" t="n">
        <f aca="false">F7 + $G$12</f>
        <v>-37.4666666666667</v>
      </c>
      <c r="G14" s="29" t="n">
        <f aca="false">G7 + $G$12</f>
        <v>-13.1402777777778</v>
      </c>
      <c r="H14" s="2"/>
      <c r="Q14" s="9"/>
      <c r="R14" s="43" t="s">
        <v>41</v>
      </c>
      <c r="S14" s="43"/>
      <c r="T14" s="43"/>
      <c r="U14" s="43"/>
      <c r="V14" s="43"/>
      <c r="W14" s="43"/>
      <c r="X14" s="43"/>
      <c r="Y14" s="2"/>
      <c r="AA14" s="9"/>
      <c r="AD14" s="2"/>
    </row>
    <row r="15" customFormat="false" ht="13.8" hidden="false" customHeight="false" outlineLevel="0" collapsed="false">
      <c r="A15" s="2"/>
      <c r="B15" s="27" t="s">
        <v>23</v>
      </c>
      <c r="C15" s="35" t="n">
        <f aca="false">C8 + $D$12</f>
        <v>-0.378466666666652</v>
      </c>
      <c r="D15" s="36" t="n">
        <f aca="false">D8 + $D$12</f>
        <v>12.251162962963</v>
      </c>
      <c r="F15" s="35" t="n">
        <f aca="false">F8 + $G$12</f>
        <v>-37.8</v>
      </c>
      <c r="G15" s="36" t="n">
        <f aca="false">G8 + $G$12</f>
        <v>-13.4018518518518</v>
      </c>
      <c r="H15" s="2"/>
      <c r="Q15" s="9"/>
      <c r="R15" s="1" t="s">
        <v>42</v>
      </c>
      <c r="S15" s="51" t="n">
        <f aca="false">(U15 + X15) / 2</f>
        <v>38.5</v>
      </c>
      <c r="T15" s="1" t="s">
        <v>43</v>
      </c>
      <c r="U15" s="52" t="n">
        <v>28</v>
      </c>
      <c r="W15" s="1" t="s">
        <v>44</v>
      </c>
      <c r="X15" s="52" t="n">
        <v>49</v>
      </c>
      <c r="Y15" s="2"/>
      <c r="AA15" s="9"/>
      <c r="AB15" s="53" t="s">
        <v>45</v>
      </c>
      <c r="AD15" s="2"/>
    </row>
    <row r="16" customFormat="false" ht="15" hidden="false" customHeight="true" outlineLevel="0" collapsed="false">
      <c r="A16" s="2"/>
      <c r="B16" s="27" t="s">
        <v>25</v>
      </c>
      <c r="C16" s="35" t="n">
        <f aca="false">C9 + $D$12</f>
        <v>-0.778466666666652</v>
      </c>
      <c r="D16" s="36" t="n">
        <f aca="false">D9 + $D$12</f>
        <v>12.1393111111111</v>
      </c>
      <c r="F16" s="35" t="n">
        <f aca="false">F9 + $G$12</f>
        <v>-38</v>
      </c>
      <c r="G16" s="36" t="n">
        <f aca="false">G9 + $G$12</f>
        <v>-13.4577777777778</v>
      </c>
      <c r="H16" s="2"/>
      <c r="K16" s="54" t="s">
        <v>46</v>
      </c>
      <c r="L16" s="54"/>
      <c r="M16" s="54"/>
      <c r="N16" s="54"/>
      <c r="Q16" s="44"/>
      <c r="R16" s="45"/>
      <c r="S16" s="45"/>
      <c r="T16" s="45"/>
      <c r="U16" s="45"/>
      <c r="V16" s="45"/>
      <c r="W16" s="45"/>
      <c r="X16" s="45"/>
      <c r="Y16" s="46"/>
      <c r="AA16" s="9"/>
      <c r="AD16" s="2"/>
    </row>
    <row r="17" customFormat="false" ht="13.8" hidden="false" customHeight="false" outlineLevel="0" collapsed="false">
      <c r="A17" s="2"/>
      <c r="B17" s="27"/>
      <c r="C17" s="41"/>
      <c r="D17" s="42"/>
      <c r="F17" s="41"/>
      <c r="G17" s="42"/>
      <c r="H17" s="2"/>
      <c r="K17" s="54"/>
      <c r="L17" s="54"/>
      <c r="M17" s="54"/>
      <c r="N17" s="54"/>
      <c r="AA17" s="9"/>
      <c r="AB17" s="55" t="s">
        <v>47</v>
      </c>
      <c r="AD17" s="2"/>
    </row>
    <row r="18" customFormat="false" ht="15" hidden="false" customHeight="true" outlineLevel="0" collapsed="false">
      <c r="A18" s="2"/>
      <c r="B18" s="27"/>
      <c r="C18" s="8" t="s">
        <v>48</v>
      </c>
      <c r="D18" s="8"/>
      <c r="F18" s="8" t="s">
        <v>48</v>
      </c>
      <c r="G18" s="8"/>
      <c r="H18" s="2"/>
      <c r="K18" s="54"/>
      <c r="L18" s="54"/>
      <c r="M18" s="54"/>
      <c r="N18" s="54"/>
      <c r="Q18" s="5"/>
      <c r="R18" s="3"/>
      <c r="S18" s="3"/>
      <c r="T18" s="3"/>
      <c r="U18" s="3"/>
      <c r="V18" s="3"/>
      <c r="W18" s="3"/>
      <c r="X18" s="3"/>
      <c r="Y18" s="4"/>
      <c r="AA18" s="44"/>
      <c r="AB18" s="45"/>
      <c r="AC18" s="45"/>
      <c r="AD18" s="46"/>
    </row>
    <row r="19" customFormat="false" ht="13.8" hidden="false" customHeight="false" outlineLevel="0" collapsed="false">
      <c r="A19" s="2"/>
      <c r="B19" s="27"/>
      <c r="C19" s="8"/>
      <c r="D19" s="8"/>
      <c r="F19" s="8"/>
      <c r="G19" s="8"/>
      <c r="H19" s="2"/>
      <c r="K19" s="56"/>
      <c r="L19" s="56"/>
      <c r="M19" s="56"/>
      <c r="Q19" s="9"/>
      <c r="R19" s="10" t="s">
        <v>49</v>
      </c>
      <c r="S19" s="10"/>
      <c r="T19" s="10"/>
      <c r="U19" s="10"/>
      <c r="V19" s="10"/>
      <c r="W19" s="10"/>
      <c r="X19" s="10"/>
      <c r="Y19" s="2"/>
    </row>
    <row r="20" customFormat="false" ht="13.8" hidden="false" customHeight="false" outlineLevel="0" collapsed="false">
      <c r="A20" s="2"/>
      <c r="B20" s="27"/>
      <c r="C20" s="10" t="s">
        <v>21</v>
      </c>
      <c r="D20" s="10" t="s">
        <v>22</v>
      </c>
      <c r="F20" s="10" t="s">
        <v>21</v>
      </c>
      <c r="G20" s="10" t="s">
        <v>22</v>
      </c>
      <c r="H20" s="2"/>
      <c r="Q20" s="9"/>
      <c r="R20" s="1" t="s">
        <v>11</v>
      </c>
      <c r="S20" s="1" t="s">
        <v>12</v>
      </c>
      <c r="T20" s="1" t="s">
        <v>13</v>
      </c>
      <c r="Y20" s="2"/>
    </row>
    <row r="21" customFormat="false" ht="13.8" hidden="false" customHeight="false" outlineLevel="0" collapsed="false">
      <c r="A21" s="2"/>
      <c r="B21" s="27" t="s">
        <v>17</v>
      </c>
      <c r="C21" s="57" t="str">
        <f aca="false">IF(C14 &gt; 0, ROUND((C14 / (-$L$9 * $S$8)), 1) &amp; " secs / " &amp; ROUND((C14 / (-$L$9 * $S$8)) / 60, 1) &amp; " mins", "N/A")</f>
        <v>14,4 secs / 0,2 mins</v>
      </c>
      <c r="D21" s="58" t="str">
        <f aca="false">IF(D14 &gt; 0, ROUND((D14 / (-$L$9 * $S$8)), 1) &amp; " secs / " &amp; ROUND((D14 / (-$L$9 * $S$8)) / 60, 1) &amp; " mins", "N/A")</f>
        <v>638,7 secs / 10,6 mins</v>
      </c>
      <c r="F21" s="59" t="str">
        <f aca="false">IF(F14 &gt; 0, ROUND((F14 / (-$L$9 * IF($F$4="(Manual planting only)", $S$24, $S$25))), 1) &amp; " secs / " &amp; ROUND((F14 / (-$L$9 * IF($F$4="(Manual planting only)", $S$24, $S$25))) / 60, 1) &amp; " mins", "N/A")</f>
        <v>N/A</v>
      </c>
      <c r="G21" s="60" t="str">
        <f aca="false">IF(G14 &gt; 0, ROUND((G14 / (-$L$9 * IF($F$4="(Manual planting only)", $S$24, $S$25))), 1) &amp; " secs / " &amp; ROUND((G14 / (-$L$9 * IF($F$4="(Manual planting only)", $S$24, $S$25))) / 60, 1) &amp; " mins", "N/A")</f>
        <v>N/A</v>
      </c>
      <c r="H21" s="2"/>
      <c r="Q21" s="9"/>
      <c r="R21" s="1" t="s">
        <v>50</v>
      </c>
      <c r="S21" s="17" t="n">
        <v>120</v>
      </c>
      <c r="T21" s="40" t="n">
        <v>2</v>
      </c>
      <c r="U21" s="61" t="n">
        <v>10</v>
      </c>
      <c r="V21" s="61"/>
      <c r="W21" s="62" t="n">
        <v>10</v>
      </c>
      <c r="X21" s="63" t="n">
        <v>20</v>
      </c>
      <c r="Y21" s="2"/>
    </row>
    <row r="22" customFormat="false" ht="13.8" hidden="false" customHeight="false" outlineLevel="0" collapsed="false">
      <c r="A22" s="2"/>
      <c r="B22" s="27" t="s">
        <v>23</v>
      </c>
      <c r="C22" s="64" t="str">
        <f aca="false">IF(C15 &gt; 0, ROUND((C15 / (-$L$9 * $S$8)), 1) &amp; " secs / " &amp; ROUND((C15 / (-$L$9 * $S$8)) / 60, 1) &amp; " mins", "N/A")</f>
        <v>N/A</v>
      </c>
      <c r="D22" s="58" t="str">
        <f aca="false">IF(D15 &gt; 0, ROUND((D15 / (-$L$9 * $S$8)), 1) &amp; " secs / " &amp; ROUND((D15 / (-$L$9 * $S$8)) / 60, 1) &amp; " mins", "N/A")</f>
        <v>612,6 secs / 10,2 mins</v>
      </c>
      <c r="F22" s="64" t="str">
        <f aca="false">IF(F15 &gt; 0, ROUND((F15 / (-$L$9 * IF($F$4="(Manual planting only)", $S$24, $S$25))), 1) &amp; " secs / " &amp; ROUND((F15 / (-$L$9 * IF($F$4="(Manual planting only)", $S$24, $S$25))) / 60, 1) &amp; " mins", "N/A")</f>
        <v>N/A</v>
      </c>
      <c r="G22" s="65" t="str">
        <f aca="false">IF(G15 &gt; 0, ROUND((G15 / (-$L$9 * IF($F$4="(Manual planting only)", $S$24, $S$25))), 1) &amp; " secs / " &amp; ROUND((G15 / (-$L$9 * IF($F$4="(Manual planting only)", $S$24, $S$25))) / 60, 1) &amp; " mins", "N/A")</f>
        <v>N/A</v>
      </c>
      <c r="H22" s="2"/>
      <c r="Q22" s="9"/>
      <c r="R22" s="1" t="s">
        <v>18</v>
      </c>
      <c r="S22" s="32" t="n">
        <f aca="false">_xlfn.FLOOR.MATH(S21 * (X23 / (W23 + X23)))</f>
        <v>60</v>
      </c>
      <c r="T22" s="40" t="n">
        <v>2</v>
      </c>
      <c r="U22" s="66" t="n">
        <v>10</v>
      </c>
      <c r="V22" s="66"/>
      <c r="W22" s="61" t="n">
        <v>10</v>
      </c>
      <c r="X22" s="63" t="n">
        <v>20</v>
      </c>
      <c r="Y22" s="2"/>
    </row>
    <row r="23" customFormat="false" ht="13.8" hidden="false" customHeight="false" outlineLevel="0" collapsed="false">
      <c r="A23" s="2"/>
      <c r="B23" s="27" t="s">
        <v>25</v>
      </c>
      <c r="C23" s="64" t="str">
        <f aca="false">IF(C16 &gt; 0, ROUND((C16 / (-$L$9 * $S$8)), 1) &amp; " secs / " &amp; ROUND((C16 / (-$L$9 * $S$8)) / 60, 1) &amp; " mins", "N/A")</f>
        <v>N/A</v>
      </c>
      <c r="D23" s="58" t="str">
        <f aca="false">IF(D16 &gt; 0, ROUND((D16 / (-$L$9 * $S$8)), 1) &amp; " secs / " &amp; ROUND((D16 / (-$L$9 * $S$8)) / 60, 1) &amp; " mins", "N/A")</f>
        <v>607 secs / 10,1 mins</v>
      </c>
      <c r="F23" s="64" t="str">
        <f aca="false">IF(F16 &gt; 0, ROUND((F16 / (-$L$9 * IF($F$4="(Manual planting only)", $S$24, $S$25))), 1) &amp; " secs / " &amp; ROUND((F16 / (-$L$9 * IF($F$4="(Manual planting only)", $S$24, $S$25))) / 60, 1) &amp; " mins", "N/A")</f>
        <v>N/A</v>
      </c>
      <c r="G23" s="65" t="str">
        <f aca="false">IF(G16 &gt; 0, ROUND((G16 / (-$L$9 * IF($F$4="(Manual planting only)", $S$24, $S$25))), 1) &amp; " secs / " &amp; ROUND((G16 / (-$L$9 * IF($F$4="(Manual planting only)", $S$24, $S$25))) / 60, 1) &amp; " mins", "N/A")</f>
        <v>N/A</v>
      </c>
      <c r="H23" s="2"/>
      <c r="Q23" s="9"/>
      <c r="R23" s="1" t="s">
        <v>26</v>
      </c>
      <c r="S23" s="32" t="n">
        <f aca="false">MIN(_xlfn.FLOOR.MATH(((S21 - S22) * U21) / W23), _xlfn.FLOOR.MATH((S22 * U22) / X23))</f>
        <v>20</v>
      </c>
      <c r="T23" s="40" t="n">
        <v>2</v>
      </c>
      <c r="U23" s="67" t="n">
        <v>1</v>
      </c>
      <c r="V23" s="67"/>
      <c r="W23" s="61" t="n">
        <v>30</v>
      </c>
      <c r="X23" s="66" t="n">
        <v>30</v>
      </c>
      <c r="Y23" s="2"/>
    </row>
    <row r="24" customFormat="false" ht="13.8" hidden="false" customHeight="false" outlineLevel="0" collapsed="false">
      <c r="A24" s="2"/>
      <c r="C24" s="41"/>
      <c r="D24" s="42"/>
      <c r="F24" s="41"/>
      <c r="G24" s="42"/>
      <c r="H24" s="2"/>
      <c r="Q24" s="9"/>
      <c r="R24" s="1" t="s">
        <v>51</v>
      </c>
      <c r="S24" s="32" t="n">
        <f aca="false">IF($F$4="(Manual planting only)", _xlfn.FLOOR.MATH((S23 * U23) / W24), _xlfn.FLOOR.MATH(((S23 * U23) / W24 / 2) + 0.5))</f>
        <v>10</v>
      </c>
      <c r="T24" s="40" t="n">
        <v>0.5</v>
      </c>
      <c r="U24" s="68" t="n">
        <v>1</v>
      </c>
      <c r="V24" s="68"/>
      <c r="W24" s="67" t="n">
        <v>1</v>
      </c>
      <c r="X24" s="69" t="n">
        <v>2</v>
      </c>
      <c r="Y24" s="2"/>
    </row>
    <row r="25" customFormat="false" ht="13.8" hidden="false" customHeight="false" outlineLevel="0" collapsed="false">
      <c r="A25" s="2"/>
      <c r="C25" s="70" t="s">
        <v>52</v>
      </c>
      <c r="D25" s="71" t="n">
        <f aca="false">$S$8 * 4</f>
        <v>80</v>
      </c>
      <c r="F25" s="70" t="s">
        <v>52</v>
      </c>
      <c r="G25" s="71" t="n">
        <f aca="false">$S$24 * 4</f>
        <v>40</v>
      </c>
      <c r="H25" s="2"/>
      <c r="Q25" s="9"/>
      <c r="R25" s="1" t="s">
        <v>29</v>
      </c>
      <c r="S25" s="72" t="n">
        <f aca="false">IF($F$4="(Manual planting only)", "N/A", _xlfn.FLOOR.MATH((_xlfn.FLOOR.MATH((S23 * U23) / W24) - _xlfn.FLOOR.MATH((S24 * U24) / X25)) / W25))</f>
        <v>10</v>
      </c>
      <c r="T25" s="40" t="n">
        <v>0.5</v>
      </c>
      <c r="U25" s="73" t="n">
        <v>1</v>
      </c>
      <c r="V25" s="73"/>
      <c r="W25" s="67" t="n">
        <v>1</v>
      </c>
      <c r="X25" s="68" t="n">
        <v>1</v>
      </c>
      <c r="Y25" s="2"/>
    </row>
    <row r="26" customFormat="false" ht="13.8" hidden="false" customHeight="false" outlineLevel="0" collapsed="false">
      <c r="A26" s="2"/>
      <c r="C26" s="70" t="s">
        <v>53</v>
      </c>
      <c r="D26" s="71" t="n">
        <f aca="false">$S$8 * X8+S5*W5</f>
        <v>22</v>
      </c>
      <c r="F26" s="70" t="s">
        <v>53</v>
      </c>
      <c r="G26" s="71" t="n">
        <f aca="false">$S$24 * X24</f>
        <v>20</v>
      </c>
      <c r="H26" s="2"/>
      <c r="Q26" s="9"/>
      <c r="Y26" s="2"/>
    </row>
    <row r="27" customFormat="false" ht="13.8" hidden="false" customHeight="false" outlineLevel="0" collapsed="false">
      <c r="A27" s="2"/>
      <c r="C27" s="70" t="s">
        <v>54</v>
      </c>
      <c r="D27" s="74" t="n">
        <f aca="false">D25-D26</f>
        <v>58</v>
      </c>
      <c r="F27" s="70" t="s">
        <v>54</v>
      </c>
      <c r="G27" s="74" t="n">
        <f aca="false">G25-G26</f>
        <v>20</v>
      </c>
      <c r="H27" s="2"/>
      <c r="Q27" s="9"/>
      <c r="R27" s="43" t="s">
        <v>34</v>
      </c>
      <c r="S27" s="43"/>
      <c r="T27" s="43"/>
      <c r="U27" s="43"/>
      <c r="V27" s="43"/>
      <c r="W27" s="43"/>
      <c r="X27" s="43"/>
      <c r="Y27" s="2"/>
    </row>
    <row r="28" customFormat="false" ht="13.8" hidden="false" customHeight="false" outlineLevel="0" collapsed="false">
      <c r="B28" s="75"/>
      <c r="C28" s="76" t="s">
        <v>55</v>
      </c>
      <c r="D28" s="77" t="n">
        <f aca="false">W6*S6*20</f>
        <v>100</v>
      </c>
      <c r="F28" s="76" t="s">
        <v>56</v>
      </c>
      <c r="G28" s="77" t="n">
        <f aca="false">S21 * W21</f>
        <v>1200</v>
      </c>
      <c r="H28" s="2"/>
      <c r="Q28" s="9"/>
      <c r="R28" s="1" t="s">
        <v>37</v>
      </c>
      <c r="S28" s="78" t="n">
        <f aca="false">IF(X28 = "Mod original", -0.018, IF(X28="Vanilla tree", L9, IF(X28 = "Redux average", ROUND(S13, 6))))</f>
        <v>-0.018</v>
      </c>
      <c r="T28" s="79" t="str">
        <f aca="false">IF(X28 = "Mod original", "(18x full grown vanilla tree)", IF(X28 = "Vanilla tree", "(Vanilla tree)", IF(X28 = "Redux average", "(~" &amp; ROUND(L9 / S13, 1) &amp; "x " &amp; IF(ABS(S13) &lt; ABS(L9), "less than ", "") &amp; "vanilla)")))</f>
        <v>(18x full grown vanilla tree)</v>
      </c>
      <c r="U28" s="79"/>
      <c r="V28" s="79"/>
      <c r="W28" s="27" t="s">
        <v>57</v>
      </c>
      <c r="X28" s="80" t="s">
        <v>58</v>
      </c>
      <c r="Y28" s="2"/>
    </row>
    <row r="29" customFormat="false" ht="13.8" hidden="false" customHeight="false" outlineLevel="0" collapsed="false">
      <c r="B29" s="9"/>
      <c r="H29" s="2"/>
      <c r="Q29" s="9"/>
      <c r="R29" s="43" t="s">
        <v>41</v>
      </c>
      <c r="S29" s="43"/>
      <c r="T29" s="43"/>
      <c r="U29" s="43"/>
      <c r="V29" s="43"/>
      <c r="W29" s="43"/>
      <c r="X29" s="43"/>
      <c r="Y29" s="2"/>
    </row>
    <row r="30" customFormat="false" ht="13.8" hidden="false" customHeight="false" outlineLevel="0" collapsed="false">
      <c r="B30" s="9"/>
      <c r="C30" s="81" t="s">
        <v>59</v>
      </c>
      <c r="D30" s="81"/>
      <c r="E30" s="81"/>
      <c r="F30" s="81"/>
      <c r="G30" s="81"/>
      <c r="H30" s="2"/>
      <c r="Q30" s="9"/>
      <c r="R30" s="1" t="s">
        <v>42</v>
      </c>
      <c r="S30" s="82" t="n">
        <f aca="false">(U30 + X30) / 2</f>
        <v>6</v>
      </c>
      <c r="T30" s="1" t="s">
        <v>43</v>
      </c>
      <c r="U30" s="82" t="n">
        <v>1</v>
      </c>
      <c r="V30" s="82"/>
      <c r="W30" s="1" t="s">
        <v>44</v>
      </c>
      <c r="X30" s="82" t="n">
        <v>11</v>
      </c>
      <c r="Y30" s="2"/>
    </row>
    <row r="31" customFormat="false" ht="13.8" hidden="false" customHeight="false" outlineLevel="0" collapsed="false">
      <c r="B31" s="44"/>
      <c r="C31" s="45"/>
      <c r="D31" s="45"/>
      <c r="E31" s="45"/>
      <c r="F31" s="45"/>
      <c r="G31" s="45"/>
      <c r="H31" s="46"/>
      <c r="Q31" s="44"/>
      <c r="R31" s="45"/>
      <c r="S31" s="45"/>
      <c r="T31" s="45"/>
      <c r="U31" s="45"/>
      <c r="V31" s="45"/>
      <c r="W31" s="45"/>
      <c r="X31" s="45"/>
      <c r="Y31" s="46"/>
    </row>
    <row r="34" customFormat="false" ht="13.8" hidden="false" customHeight="false" outlineLevel="0" collapsed="false">
      <c r="B34" s="1" t="s">
        <v>60</v>
      </c>
    </row>
    <row r="35" customFormat="false" ht="13.8" hidden="false" customHeight="false" outlineLevel="0" collapsed="false">
      <c r="B35" s="1" t="n">
        <f aca="false">X8+W5*X7/U5</f>
        <v>1.25</v>
      </c>
      <c r="C35" s="1" t="s">
        <v>61</v>
      </c>
    </row>
    <row r="36" customFormat="false" ht="13.8" hidden="false" customHeight="false" outlineLevel="0" collapsed="false">
      <c r="B36" s="1" t="n">
        <f aca="false">5/20</f>
        <v>0.25</v>
      </c>
      <c r="C36" s="1" t="s">
        <v>62</v>
      </c>
    </row>
    <row r="37" customFormat="false" ht="13.8" hidden="false" customHeight="false" outlineLevel="0" collapsed="false">
      <c r="B37" s="0" t="n">
        <f aca="false">1/20</f>
        <v>0.05</v>
      </c>
      <c r="C37" s="0" t="s">
        <v>63</v>
      </c>
    </row>
    <row r="38" customFormat="false" ht="13.8" hidden="false" customHeight="false" outlineLevel="0" collapsed="false">
      <c r="B38" s="1" t="n">
        <f aca="false">(T8*(M5-2.5)/N5+T7*(M8-7)/N8+T5/4*(M8-7)/N8+T6/20*(M8-7)/N8)/1000</f>
        <v>2.805</v>
      </c>
      <c r="C38" s="1" t="s">
        <v>64</v>
      </c>
    </row>
    <row r="40" customFormat="false" ht="13.8" hidden="false" customHeight="false" outlineLevel="0" collapsed="false">
      <c r="B40" s="1" t="s">
        <v>65</v>
      </c>
      <c r="D40" s="1" t="n">
        <f aca="false">(B41-B35)*2-B37*4-B38</f>
        <v>2.495</v>
      </c>
      <c r="F40" s="1" t="s">
        <v>66</v>
      </c>
    </row>
    <row r="41" customFormat="false" ht="13.8" hidden="false" customHeight="false" outlineLevel="0" collapsed="false">
      <c r="B41" s="1" t="n">
        <v>4</v>
      </c>
      <c r="C41" s="1" t="s">
        <v>61</v>
      </c>
    </row>
  </sheetData>
  <mergeCells count="22">
    <mergeCell ref="B3:B6"/>
    <mergeCell ref="C3:D4"/>
    <mergeCell ref="F3:G3"/>
    <mergeCell ref="K3:N3"/>
    <mergeCell ref="R3:X3"/>
    <mergeCell ref="F4:G4"/>
    <mergeCell ref="W4:X4"/>
    <mergeCell ref="C5:D5"/>
    <mergeCell ref="F5:G5"/>
    <mergeCell ref="R10:X10"/>
    <mergeCell ref="C11:D11"/>
    <mergeCell ref="F11:G11"/>
    <mergeCell ref="T13:X13"/>
    <mergeCell ref="R14:X14"/>
    <mergeCell ref="K16:N18"/>
    <mergeCell ref="C18:D19"/>
    <mergeCell ref="F18:G19"/>
    <mergeCell ref="R19:X19"/>
    <mergeCell ref="R27:X27"/>
    <mergeCell ref="T28:U28"/>
    <mergeCell ref="R29:X29"/>
    <mergeCell ref="C30:G30"/>
  </mergeCells>
  <conditionalFormatting sqref="S28">
    <cfRule type="expression" priority="2" aboveAverage="0" equalAverage="0" bottom="0" percent="0" rank="0" text="" dxfId="0">
      <formula>IF($X$28 = "Redux average", 1, 0)</formula>
    </cfRule>
    <cfRule type="expression" priority="3" aboveAverage="0" equalAverage="0" bottom="0" percent="0" rank="0" text="" dxfId="1">
      <formula>IF($X$28 = "Vanilla tree", 1, 0)</formula>
    </cfRule>
    <cfRule type="expression" priority="4" aboveAverage="0" equalAverage="0" bottom="0" percent="0" rank="0" text="" dxfId="2">
      <formula>IF($X$28 = "Mod original", 1, 0)</formula>
    </cfRule>
  </conditionalFormatting>
  <dataValidations count="2">
    <dataValidation allowBlank="true" errorStyle="stop" operator="between" showDropDown="false" showErrorMessage="true" showInputMessage="true" sqref="F4:G4" type="list">
      <formula1>"(Manual planting only),(Automated planters)"</formula1>
      <formula2>0</formula2>
    </dataValidation>
    <dataValidation allowBlank="true" errorStyle="stop" operator="between" showDropDown="false" showErrorMessage="true" showInputMessage="true" sqref="X28" type="list">
      <formula1>"Mod original,Vanilla tree,Redux average"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2022-04-26T04:08:36Z</dcterms:created>
  <dc:creator>dlynde</dc:creator>
  <dc:description/>
  <dc:language>de-DE</dc:language>
  <cp:lastModifiedBy/>
  <dcterms:modified xsi:type="dcterms:W3CDTF">2024-08-11T18:45:05Z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